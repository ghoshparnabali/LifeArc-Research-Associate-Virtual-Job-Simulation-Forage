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ia\Books\Projects\LifeArc Job Simulation\"/>
    </mc:Choice>
  </mc:AlternateContent>
  <xr:revisionPtr revIDLastSave="0" documentId="13_ncr:1_{CA55C9E3-124E-40E9-AA1C-8F3BD6BBC0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HJavooemqp41I4kzaTbSHs8Exag=="/>
    </ext>
  </extLst>
</workbook>
</file>

<file path=xl/calcChain.xml><?xml version="1.0" encoding="utf-8"?>
<calcChain xmlns="http://schemas.openxmlformats.org/spreadsheetml/2006/main">
  <c r="E15" i="1" l="1"/>
  <c r="A21" i="1" a="1"/>
  <c r="A2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<sst xmlns="http://schemas.openxmlformats.org/spreadsheetml/2006/main" count="38" uniqueCount="38">
  <si>
    <t>Treatment to vary</t>
  </si>
  <si>
    <t>Units</t>
  </si>
  <si>
    <t>Dosage 1</t>
  </si>
  <si>
    <t>Dosage 2</t>
  </si>
  <si>
    <t>Dosage 3</t>
  </si>
  <si>
    <t>Dosage 4</t>
  </si>
  <si>
    <t>NGN1 virus</t>
  </si>
  <si>
    <t>MOI</t>
  </si>
  <si>
    <t>NT3 supplement</t>
  </si>
  <si>
    <t>ng/mL</t>
  </si>
  <si>
    <t>The experiment is performed in 24-well plates, with each well containing ~200,000 cells in ~1mL of media.</t>
  </si>
  <si>
    <t>The measured titre of the virus stock is given in TU/µL, where TU is the number of Transduction Units (active viral particles)</t>
  </si>
  <si>
    <t>The Multiplicity of Infection, MOI [TU/cell] = (TU per well) / (cells per well).</t>
  </si>
  <si>
    <t>Empty virus vector</t>
  </si>
  <si>
    <t>Sample ID</t>
  </si>
  <si>
    <r>
      <rPr>
        <b/>
        <i/>
        <sz val="12"/>
        <color theme="1"/>
        <rFont val="Calibri"/>
      </rPr>
      <t>NGN2</t>
    </r>
    <r>
      <rPr>
        <b/>
        <sz val="12"/>
        <color theme="1"/>
        <rFont val="Calibri"/>
      </rPr>
      <t xml:space="preserve"> virus stock, µL</t>
    </r>
  </si>
  <si>
    <t>Control virus stock, µL</t>
  </si>
  <si>
    <t>NGN2 virus</t>
  </si>
  <si>
    <t>NT3, ng/ml</t>
  </si>
  <si>
    <t>1. Experiment design for optimising the fibroblast-to-sensory-neuron differentiation protocol</t>
  </si>
  <si>
    <r>
      <t xml:space="preserve">2. Negative control for the NGN2 virus </t>
    </r>
    <r>
      <rPr>
        <sz val="12"/>
        <color theme="1"/>
        <rFont val="Calibri"/>
      </rPr>
      <t>(to be used instead of 0 MOI): 5 MOI of empty virus vector</t>
    </r>
  </si>
  <si>
    <t>3. MOI-to-volume conversion</t>
  </si>
  <si>
    <t>(i) Titre of virus stock (TU/µL)</t>
  </si>
  <si>
    <t>(ii) TU needed for 1 MOI given the number of cells/well</t>
  </si>
  <si>
    <t>(iii) Amount of virus stock needed for 1 MOI (µL/MOI)</t>
  </si>
  <si>
    <t>5. Brief justification for the chosen experimental design</t>
  </si>
  <si>
    <t>4. Sample matrix</t>
  </si>
  <si>
    <t>To systematically optimise NGN2-mediated differentiation of human fibroblasts into sensory neurons, a factorial experimental</t>
  </si>
  <si>
    <t>design was implemented varying both viral dose (MOI) and NT3 concentration. NGN2 MOIs of 1, 2, 5, 10 were selected to span</t>
  </si>
  <si>
    <t>below, within and above recommended transduction range (2-5 TU/cell), allowing assessment of dose-dependent effects and</t>
  </si>
  <si>
    <t>potential toxicity. NT3 concentrations of 0, 5, 25, 50 ng/mL were tested to evaluate its contribution to neuronal survival and</t>
  </si>
  <si>
    <t>and maturation, with 25 ng/mL included as the protocol-suggested working concentration.</t>
  </si>
  <si>
    <t>A 5 MOI empty vector control was included across all NT3 concentrations to control for lentiviral infection effects independent of</t>
  </si>
  <si>
    <t>NGN2 expression. Additionally, a no-virus/no-NT3 baseline condition was incorporated to establish fibroblast morphology and</t>
  </si>
  <si>
    <t>background marker expression.</t>
  </si>
  <si>
    <t>To ensure robustness of the expected optimal condition, the predicted most-effective parameter (5 MOI NGN2 + 25 ng/mL NT3)</t>
  </si>
  <si>
    <t>was included in quadruplicate. This design enables evaluation of both the independent and combined effects of NGN2 and NT3</t>
  </si>
  <si>
    <t>while adhering to the constraints of a single 24-well plate.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</si>
</sst>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Calibri"/>
      <scheme val="minor"/>
    </font>
    <font>
      <b/>
      <sz val="12"/>
      <color theme="1"/>
      <name val="Calibri"/>
    </font>
    <font>
      <i/>
      <sz val="12"/>
      <color theme="1"/>
      <name val="Calibri"/>
    </font>
    <font>
      <b/>
      <sz val="12"/>
      <color rgb="FF000000"/>
      <name val="Calibri"/>
    </font>
    <font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b/>
      <sz val="12"/>
      <color theme="1"/>
      <name val="Calibri"/>
    </font>
    <font>
      <b/>
      <i/>
      <sz val="12"/>
      <color theme="1"/>
      <name val="Calibri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1" fontId="6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10" fillId="0" borderId="0" xfId="0" applyFont="1"/>
    <xf numFmtId="0" fontId="1" fillId="0" borderId="0" xfId="0" applyFont="1" applyBorder="1"/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1"/>
  <sheetViews>
    <sheetView tabSelected="1" zoomScale="80" zoomScaleNormal="80" workbookViewId="0">
      <selection activeCell="L52" sqref="L52"/>
    </sheetView>
  </sheetViews>
  <sheetFormatPr defaultColWidth="11.19921875" defaultRowHeight="15" customHeight="1" x14ac:dyDescent="0.3"/>
  <cols>
    <col min="1" max="1" width="17.3984375" customWidth="1"/>
    <col min="2" max="2" width="19.8984375" customWidth="1"/>
    <col min="3" max="3" width="20.8984375" customWidth="1"/>
    <col min="4" max="4" width="16.69921875" customWidth="1"/>
    <col min="5" max="5" width="15.8984375" customWidth="1"/>
    <col min="6" max="6" width="16.19921875" customWidth="1"/>
    <col min="7" max="26" width="10.59765625" customWidth="1"/>
  </cols>
  <sheetData>
    <row r="1" spans="1:26" ht="15.75" customHeight="1" x14ac:dyDescent="0.3">
      <c r="A1" s="19" t="s">
        <v>19</v>
      </c>
    </row>
    <row r="2" spans="1:26" ht="15.75" customHeight="1" x14ac:dyDescent="0.3">
      <c r="A2" s="2"/>
    </row>
    <row r="3" spans="1:26" ht="15.75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3">
      <c r="A4" s="6" t="s">
        <v>6</v>
      </c>
      <c r="B4" s="5" t="s">
        <v>7</v>
      </c>
      <c r="C4" s="5">
        <v>1</v>
      </c>
      <c r="D4" s="5">
        <v>2</v>
      </c>
      <c r="E4" s="5">
        <v>5</v>
      </c>
      <c r="F4" s="5">
        <v>10</v>
      </c>
    </row>
    <row r="5" spans="1:26" ht="15.75" customHeight="1" x14ac:dyDescent="0.3">
      <c r="A5" s="6" t="s">
        <v>8</v>
      </c>
      <c r="B5" s="5" t="s">
        <v>9</v>
      </c>
      <c r="C5" s="5">
        <v>0</v>
      </c>
      <c r="D5" s="5">
        <v>5</v>
      </c>
      <c r="E5" s="5">
        <v>25</v>
      </c>
      <c r="F5" s="5">
        <v>50</v>
      </c>
    </row>
    <row r="6" spans="1:26" ht="15.75" customHeight="1" x14ac:dyDescent="0.3">
      <c r="A6" s="6"/>
      <c r="B6" s="5"/>
      <c r="C6" s="5"/>
      <c r="D6" s="5"/>
      <c r="E6" s="5"/>
      <c r="F6" s="5"/>
    </row>
    <row r="7" spans="1:26" ht="15.75" customHeight="1" x14ac:dyDescent="0.3">
      <c r="A7" s="20"/>
      <c r="B7" s="20"/>
      <c r="C7" s="20"/>
    </row>
    <row r="8" spans="1:26" ht="15.75" customHeight="1" x14ac:dyDescent="0.3">
      <c r="A8" s="19" t="s">
        <v>20</v>
      </c>
      <c r="B8" s="15"/>
    </row>
    <row r="9" spans="1:26" ht="15.75" customHeight="1" x14ac:dyDescent="0.3">
      <c r="A9" s="1"/>
      <c r="B9" s="2"/>
    </row>
    <row r="10" spans="1:26" ht="15.75" customHeight="1" x14ac:dyDescent="0.3">
      <c r="A10" s="19" t="s">
        <v>21</v>
      </c>
    </row>
    <row r="11" spans="1:26" ht="15.75" customHeight="1" x14ac:dyDescent="0.3">
      <c r="A11" s="7" t="s">
        <v>10</v>
      </c>
      <c r="B11" s="7"/>
      <c r="C11" s="7"/>
    </row>
    <row r="12" spans="1:26" ht="15.75" customHeight="1" x14ac:dyDescent="0.3">
      <c r="A12" s="7" t="s">
        <v>11</v>
      </c>
      <c r="B12" s="3"/>
      <c r="C12" s="3"/>
    </row>
    <row r="13" spans="1:26" ht="15.75" customHeight="1" x14ac:dyDescent="0.3">
      <c r="A13" s="7" t="s">
        <v>12</v>
      </c>
      <c r="B13" s="3"/>
      <c r="C13" s="3"/>
    </row>
    <row r="14" spans="1:26" ht="15.75" customHeight="1" x14ac:dyDescent="0.3">
      <c r="A14" s="7"/>
      <c r="B14" s="3"/>
      <c r="C14" s="3"/>
      <c r="D14" s="3" t="s">
        <v>17</v>
      </c>
      <c r="E14" s="3" t="s">
        <v>13</v>
      </c>
    </row>
    <row r="15" spans="1:26" ht="15.75" customHeight="1" x14ac:dyDescent="0.3">
      <c r="A15" s="18" t="s">
        <v>22</v>
      </c>
      <c r="B15" s="8"/>
      <c r="C15" s="8"/>
      <c r="D15" s="8">
        <v>35000</v>
      </c>
      <c r="E15" s="8">
        <f>40000000/1000</f>
        <v>40000</v>
      </c>
    </row>
    <row r="16" spans="1:26" ht="15.75" customHeight="1" x14ac:dyDescent="0.3">
      <c r="A16" s="18" t="s">
        <v>23</v>
      </c>
      <c r="B16" s="9"/>
      <c r="C16" s="10"/>
      <c r="D16" s="9">
        <v>200000</v>
      </c>
      <c r="E16" s="10">
        <v>200000</v>
      </c>
    </row>
    <row r="17" spans="1:26" ht="15.75" customHeight="1" x14ac:dyDescent="0.3">
      <c r="A17" s="18" t="s">
        <v>24</v>
      </c>
      <c r="B17" s="11"/>
      <c r="C17" s="12"/>
      <c r="D17" s="11">
        <v>5.71</v>
      </c>
      <c r="E17" s="12">
        <v>5</v>
      </c>
    </row>
    <row r="18" spans="1:26" ht="15.75" customHeight="1" x14ac:dyDescent="0.3">
      <c r="A18" s="3"/>
    </row>
    <row r="19" spans="1:26" ht="15.75" customHeight="1" x14ac:dyDescent="0.3">
      <c r="A19" s="21" t="s">
        <v>26</v>
      </c>
    </row>
    <row r="20" spans="1:26" ht="15.6" x14ac:dyDescent="0.3">
      <c r="A20" s="13" t="s">
        <v>14</v>
      </c>
      <c r="B20" s="13" t="s">
        <v>15</v>
      </c>
      <c r="C20" s="16" t="s">
        <v>16</v>
      </c>
      <c r="D20" s="16" t="s">
        <v>18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 x14ac:dyDescent="0.3">
      <c r="A21" s="5" cm="1">
        <f t="array" ref="A21:A44" xml:space="preserve"> _xlfn.SEQUENCE(24, 1, 1, 1)</f>
        <v>1</v>
      </c>
      <c r="B21" s="17">
        <v>0</v>
      </c>
      <c r="C21" s="14">
        <v>25</v>
      </c>
      <c r="D21" s="5">
        <v>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3">
      <c r="A22" s="5">
        <v>2</v>
      </c>
      <c r="B22" s="17">
        <v>0</v>
      </c>
      <c r="C22" s="14">
        <v>25</v>
      </c>
      <c r="D22" s="5">
        <v>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3">
      <c r="A23" s="5">
        <v>3</v>
      </c>
      <c r="B23" s="17">
        <v>0</v>
      </c>
      <c r="C23" s="14">
        <v>25</v>
      </c>
      <c r="D23" s="5">
        <v>25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3">
      <c r="A24" s="5">
        <v>4</v>
      </c>
      <c r="B24" s="17">
        <v>0</v>
      </c>
      <c r="C24" s="14">
        <v>25</v>
      </c>
      <c r="D24" s="5">
        <v>50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3">
      <c r="A25" s="5">
        <v>5</v>
      </c>
      <c r="B25" s="14">
        <v>5.71</v>
      </c>
      <c r="C25" s="14">
        <v>0</v>
      </c>
      <c r="D25" s="5">
        <v>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3">
      <c r="A26" s="5">
        <v>6</v>
      </c>
      <c r="B26" s="14">
        <v>5.71</v>
      </c>
      <c r="C26" s="14">
        <v>0</v>
      </c>
      <c r="D26" s="5">
        <v>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3">
      <c r="A27" s="5">
        <v>7</v>
      </c>
      <c r="B27" s="14">
        <v>5.71</v>
      </c>
      <c r="C27" s="14">
        <v>0</v>
      </c>
      <c r="D27" s="5">
        <v>25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3">
      <c r="A28" s="5">
        <v>8</v>
      </c>
      <c r="B28" s="14">
        <v>5.71</v>
      </c>
      <c r="C28" s="14">
        <v>0</v>
      </c>
      <c r="D28" s="5">
        <v>50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3">
      <c r="A29" s="5">
        <v>9</v>
      </c>
      <c r="B29" s="14">
        <v>11.4</v>
      </c>
      <c r="C29" s="14">
        <v>0</v>
      </c>
      <c r="D29" s="5">
        <v>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3">
      <c r="A30" s="5">
        <v>10</v>
      </c>
      <c r="B30" s="14">
        <v>11.4</v>
      </c>
      <c r="C30" s="14">
        <v>0</v>
      </c>
      <c r="D30" s="5">
        <v>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3">
      <c r="A31" s="5">
        <v>11</v>
      </c>
      <c r="B31" s="14">
        <v>11.4</v>
      </c>
      <c r="C31" s="14">
        <v>0</v>
      </c>
      <c r="D31" s="5">
        <v>25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3">
      <c r="A32" s="5">
        <v>12</v>
      </c>
      <c r="B32" s="14">
        <v>11.4</v>
      </c>
      <c r="C32" s="14">
        <v>0</v>
      </c>
      <c r="D32" s="5">
        <v>50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3">
      <c r="A33" s="5">
        <v>13</v>
      </c>
      <c r="B33" s="14">
        <v>28.5</v>
      </c>
      <c r="C33" s="14">
        <v>0</v>
      </c>
      <c r="D33" s="5">
        <v>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" customHeight="1" x14ac:dyDescent="0.3">
      <c r="A34" s="5">
        <v>14</v>
      </c>
      <c r="B34" s="14">
        <v>28.5</v>
      </c>
      <c r="C34" s="14">
        <v>0</v>
      </c>
      <c r="D34" s="5">
        <v>5</v>
      </c>
    </row>
    <row r="35" spans="1:26" ht="15.75" customHeight="1" x14ac:dyDescent="0.3">
      <c r="A35" s="5">
        <v>15</v>
      </c>
      <c r="B35" s="14">
        <v>28.5</v>
      </c>
      <c r="C35" s="14">
        <v>0</v>
      </c>
      <c r="D35" s="5">
        <v>25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3">
      <c r="A36" s="5">
        <v>16</v>
      </c>
      <c r="B36" s="14">
        <v>28.5</v>
      </c>
      <c r="C36" s="14">
        <v>0</v>
      </c>
      <c r="D36" s="5">
        <v>50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3">
      <c r="A37" s="5">
        <v>17</v>
      </c>
      <c r="B37" s="14">
        <v>57</v>
      </c>
      <c r="C37" s="14">
        <v>0</v>
      </c>
      <c r="D37" s="5">
        <v>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3">
      <c r="A38" s="5">
        <v>18</v>
      </c>
      <c r="B38" s="14">
        <v>57</v>
      </c>
      <c r="C38" s="14">
        <v>0</v>
      </c>
      <c r="D38" s="5">
        <v>5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3">
      <c r="A39" s="5">
        <v>19</v>
      </c>
      <c r="B39" s="14">
        <v>57</v>
      </c>
      <c r="C39" s="14">
        <v>0</v>
      </c>
      <c r="D39" s="5">
        <v>25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3">
      <c r="A40" s="5">
        <v>20</v>
      </c>
      <c r="B40" s="14">
        <v>57</v>
      </c>
      <c r="C40" s="14">
        <v>0</v>
      </c>
      <c r="D40" s="5">
        <v>50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3">
      <c r="A41" s="5">
        <v>21</v>
      </c>
      <c r="B41" s="14">
        <v>28.5</v>
      </c>
      <c r="C41" s="14">
        <v>0</v>
      </c>
      <c r="D41" s="5">
        <v>25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3">
      <c r="A42" s="5">
        <v>22</v>
      </c>
      <c r="B42" s="14">
        <v>28.5</v>
      </c>
      <c r="C42" s="14">
        <v>0</v>
      </c>
      <c r="D42" s="5">
        <v>25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3">
      <c r="A43" s="5">
        <v>23</v>
      </c>
      <c r="B43" s="14">
        <v>28.5</v>
      </c>
      <c r="C43" s="14">
        <v>0</v>
      </c>
      <c r="D43" s="5">
        <v>25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3">
      <c r="A44" s="5">
        <v>24</v>
      </c>
      <c r="B44" s="14">
        <v>0</v>
      </c>
      <c r="C44" s="14">
        <v>0</v>
      </c>
      <c r="D44" s="5">
        <v>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3">
      <c r="A46" s="21" t="s">
        <v>25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3">
      <c r="A47" s="22" t="s">
        <v>27</v>
      </c>
      <c r="B47" s="14"/>
      <c r="C47" s="1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3">
      <c r="A48" s="22" t="s">
        <v>28</v>
      </c>
      <c r="B48" s="14"/>
      <c r="C48" s="1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3">
      <c r="A49" s="22" t="s">
        <v>29</v>
      </c>
      <c r="B49" s="14"/>
      <c r="C49" s="14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3">
      <c r="A50" s="22" t="s">
        <v>30</v>
      </c>
      <c r="B50" s="14"/>
      <c r="C50" s="1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3">
      <c r="A51" s="22" t="s">
        <v>31</v>
      </c>
      <c r="B51" s="14"/>
      <c r="C51" s="1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3">
      <c r="A52" s="22" t="s">
        <v>32</v>
      </c>
      <c r="B52" s="14"/>
      <c r="C52" s="1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3">
      <c r="A53" s="22" t="s">
        <v>33</v>
      </c>
      <c r="B53" s="14"/>
      <c r="C53" s="14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3">
      <c r="A54" s="22" t="s">
        <v>34</v>
      </c>
      <c r="B54" s="14"/>
      <c r="C54" s="1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3">
      <c r="A55" s="22" t="s">
        <v>35</v>
      </c>
      <c r="B55" s="14"/>
      <c r="C55" s="14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3">
      <c r="A56" s="22" t="s">
        <v>36</v>
      </c>
      <c r="B56" s="14"/>
      <c r="C56" s="1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3">
      <c r="A57" s="22" t="s">
        <v>37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3">
      <c r="A58" s="19"/>
      <c r="B58" s="19"/>
      <c r="C58" s="19"/>
      <c r="D58" s="19"/>
    </row>
    <row r="59" spans="1:26" ht="15.75" customHeight="1" x14ac:dyDescent="0.3"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3">
      <c r="A60" s="6"/>
      <c r="B60" s="6"/>
      <c r="C60" s="6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3">
      <c r="A61" s="6"/>
      <c r="B61" s="6"/>
      <c r="C61" s="6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3">
      <c r="A62" s="5"/>
      <c r="B62" s="14"/>
      <c r="C62" s="1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3">
      <c r="A63" s="5"/>
      <c r="B63" s="14"/>
      <c r="C63" s="14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3">
      <c r="A64" s="5"/>
      <c r="B64" s="14"/>
      <c r="C64" s="14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3">
      <c r="A65" s="5"/>
      <c r="B65" s="14"/>
      <c r="C65" s="1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3">
      <c r="A66" s="1"/>
    </row>
    <row r="71" spans="1:26" ht="15.75" customHeight="1" x14ac:dyDescent="0.3"/>
    <row r="72" spans="1:26" ht="15.75" customHeight="1" x14ac:dyDescent="0.3"/>
    <row r="73" spans="1:26" ht="15.75" customHeight="1" x14ac:dyDescent="0.3"/>
    <row r="74" spans="1:26" ht="15.75" customHeight="1" x14ac:dyDescent="0.3"/>
    <row r="75" spans="1:26" ht="15.75" customHeight="1" x14ac:dyDescent="0.3"/>
    <row r="76" spans="1:26" ht="15.75" customHeight="1" x14ac:dyDescent="0.3"/>
    <row r="77" spans="1:26" ht="15.75" customHeight="1" x14ac:dyDescent="0.3"/>
    <row r="78" spans="1:26" ht="15.75" customHeight="1" x14ac:dyDescent="0.3"/>
    <row r="79" spans="1:26" ht="15.75" customHeight="1" x14ac:dyDescent="0.3"/>
    <row r="80" spans="1:2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Parnabali Ghosh</cp:lastModifiedBy>
  <dcterms:created xsi:type="dcterms:W3CDTF">2022-11-11T16:36:01Z</dcterms:created>
  <dcterms:modified xsi:type="dcterms:W3CDTF">2026-07-05T17:54:57Z</dcterms:modified>
</cp:coreProperties>
</file>